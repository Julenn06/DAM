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<sst xmlns="http://schemas.openxmlformats.org/spreadsheetml/2006/main" count="61" uniqueCount="22">
  <si>
    <t>Fecha</t>
  </si>
  <si>
    <t>Producto</t>
  </si>
  <si>
    <t>Comercial</t>
  </si>
  <si>
    <t>Unidades</t>
  </si>
  <si>
    <t>Precio</t>
  </si>
  <si>
    <t>Zona</t>
  </si>
  <si>
    <t>Ratón</t>
  </si>
  <si>
    <t>Importe</t>
  </si>
  <si>
    <t>Teclado</t>
  </si>
  <si>
    <t>Monitor</t>
  </si>
  <si>
    <t>Ana</t>
  </si>
  <si>
    <t>Norte</t>
  </si>
  <si>
    <t>Portátil</t>
  </si>
  <si>
    <t>Pablo</t>
  </si>
  <si>
    <t>Sur</t>
  </si>
  <si>
    <t>Lucía</t>
  </si>
  <si>
    <t>Centro</t>
  </si>
  <si>
    <t>Impresora</t>
  </si>
  <si>
    <t>1. Jarduera</t>
  </si>
  <si>
    <t>4. Jarduera</t>
  </si>
  <si>
    <t>2. Jarduera</t>
  </si>
  <si>
    <t>3. Jarduera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</si>
</sst>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Quattrocento Sans"/>
    </font>
    <font>
      <sz val="11.0"/>
      <color rgb="FF000000"/>
      <name val="Arial"/>
    </font>
    <font>
      <sz val="11.0"/>
      <color theme="1"/>
      <name val="Quattrocento Sa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shrinkToFit="0" wrapText="1"/>
    </xf>
    <xf borderId="0" fillId="0" fontId="5" numFmtId="164" xfId="0" applyFont="1" applyNumberFormat="1"/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3" t="s">
        <v>2</v>
      </c>
      <c r="C1" s="3" t="s">
        <v>5</v>
      </c>
      <c r="D1" s="3" t="s">
        <v>1</v>
      </c>
      <c r="E1" s="3" t="s">
        <v>3</v>
      </c>
      <c r="F1" s="3" t="s">
        <v>7</v>
      </c>
    </row>
    <row r="2" ht="15.75" customHeight="1">
      <c r="A2" s="5">
        <v>45659.0</v>
      </c>
      <c r="B2" s="6" t="s">
        <v>10</v>
      </c>
      <c r="C2" s="6" t="s">
        <v>11</v>
      </c>
      <c r="D2" s="6" t="s">
        <v>12</v>
      </c>
      <c r="E2" s="6">
        <v>2.0</v>
      </c>
      <c r="F2" s="6">
        <v>1800.0</v>
      </c>
    </row>
    <row r="3" ht="15.75" customHeight="1">
      <c r="A3" s="5">
        <v>45660.0</v>
      </c>
      <c r="B3" s="6" t="s">
        <v>13</v>
      </c>
      <c r="C3" s="6" t="s">
        <v>14</v>
      </c>
      <c r="D3" s="6" t="s">
        <v>9</v>
      </c>
      <c r="E3" s="6">
        <v>5.0</v>
      </c>
      <c r="F3" s="6">
        <v>750.0</v>
      </c>
    </row>
    <row r="4" ht="15.75" customHeight="1">
      <c r="A4" s="5">
        <v>45661.0</v>
      </c>
      <c r="B4" s="6" t="s">
        <v>10</v>
      </c>
      <c r="C4" s="6" t="s">
        <v>11</v>
      </c>
      <c r="D4" s="6" t="s">
        <v>9</v>
      </c>
      <c r="E4" s="6">
        <v>3.0</v>
      </c>
      <c r="F4" s="6">
        <v>450.0</v>
      </c>
    </row>
    <row r="5" ht="15.75" customHeight="1">
      <c r="A5" s="5">
        <v>45662.0</v>
      </c>
      <c r="B5" s="6" t="s">
        <v>15</v>
      </c>
      <c r="C5" s="6" t="s">
        <v>16</v>
      </c>
      <c r="D5" s="6" t="s">
        <v>17</v>
      </c>
      <c r="E5" s="6">
        <v>2.0</v>
      </c>
      <c r="F5" s="6">
        <v>300.0</v>
      </c>
    </row>
    <row r="6" ht="15.75" customHeight="1">
      <c r="A6" s="5">
        <v>45663.0</v>
      </c>
      <c r="B6" s="6" t="s">
        <v>13</v>
      </c>
      <c r="C6" s="6" t="s">
        <v>14</v>
      </c>
      <c r="D6" s="6" t="s">
        <v>12</v>
      </c>
      <c r="E6" s="6">
        <v>1.0</v>
      </c>
      <c r="F6" s="6">
        <v>900.0</v>
      </c>
    </row>
    <row r="7" ht="15.75" customHeight="1">
      <c r="A7" s="5">
        <v>45664.0</v>
      </c>
      <c r="B7" s="6" t="s">
        <v>10</v>
      </c>
      <c r="C7" s="6" t="s">
        <v>11</v>
      </c>
      <c r="D7" s="6" t="s">
        <v>17</v>
      </c>
      <c r="E7" s="6">
        <v>4.0</v>
      </c>
      <c r="F7" s="6">
        <v>600.0</v>
      </c>
    </row>
    <row r="8" ht="15.75" customHeight="1">
      <c r="A8" s="5">
        <v>45665.0</v>
      </c>
      <c r="B8" s="6" t="s">
        <v>15</v>
      </c>
      <c r="C8" s="6" t="s">
        <v>16</v>
      </c>
      <c r="D8" s="6" t="s">
        <v>9</v>
      </c>
      <c r="E8" s="6">
        <v>6.0</v>
      </c>
      <c r="F8" s="6">
        <v>900.0</v>
      </c>
    </row>
    <row r="9" ht="15.75" customHeight="1">
      <c r="A9" s="5">
        <v>45666.0</v>
      </c>
      <c r="B9" s="6" t="s">
        <v>13</v>
      </c>
      <c r="C9" s="6" t="s">
        <v>14</v>
      </c>
      <c r="D9" s="6" t="s">
        <v>17</v>
      </c>
      <c r="E9" s="6">
        <v>3.0</v>
      </c>
      <c r="F9" s="6">
        <v>450.0</v>
      </c>
    </row>
    <row r="10" ht="15.75" customHeight="1">
      <c r="A10" s="5">
        <v>45667.0</v>
      </c>
      <c r="B10" s="6" t="s">
        <v>10</v>
      </c>
      <c r="C10" s="6" t="s">
        <v>11</v>
      </c>
      <c r="D10" s="6" t="s">
        <v>12</v>
      </c>
      <c r="E10" s="6">
        <v>2.0</v>
      </c>
      <c r="F10" s="6">
        <v>1800.0</v>
      </c>
    </row>
    <row r="11" ht="15.75" customHeight="1">
      <c r="A11" s="5">
        <v>45668.0</v>
      </c>
      <c r="B11" s="6" t="s">
        <v>15</v>
      </c>
      <c r="C11" s="6" t="s">
        <v>16</v>
      </c>
      <c r="D11" s="6" t="s">
        <v>12</v>
      </c>
      <c r="E11" s="6">
        <v>1.0</v>
      </c>
      <c r="F11" s="6">
        <v>900.0</v>
      </c>
    </row>
    <row r="12" ht="15.75" customHeight="1">
      <c r="A12" s="5">
        <v>45669.0</v>
      </c>
      <c r="B12" s="6" t="s">
        <v>13</v>
      </c>
      <c r="C12" s="6" t="s">
        <v>14</v>
      </c>
      <c r="D12" s="6" t="s">
        <v>9</v>
      </c>
      <c r="E12" s="6">
        <v>4.0</v>
      </c>
      <c r="F12" s="6">
        <v>600.0</v>
      </c>
    </row>
    <row r="13" ht="15.75" customHeight="1">
      <c r="A13" s="5">
        <v>45670.0</v>
      </c>
      <c r="B13" s="6" t="s">
        <v>10</v>
      </c>
      <c r="C13" s="6" t="s">
        <v>11</v>
      </c>
      <c r="D13" s="6" t="s">
        <v>9</v>
      </c>
      <c r="E13" s="6">
        <v>2.0</v>
      </c>
      <c r="F13" s="6">
        <v>300.0</v>
      </c>
    </row>
    <row r="14" ht="15.75" customHeight="1">
      <c r="A14" s="5">
        <v>45671.0</v>
      </c>
      <c r="B14" s="6" t="s">
        <v>15</v>
      </c>
      <c r="C14" s="6" t="s">
        <v>16</v>
      </c>
      <c r="D14" s="6" t="s">
        <v>17</v>
      </c>
      <c r="E14" s="6">
        <v>5.0</v>
      </c>
      <c r="F14" s="6">
        <v>750.0</v>
      </c>
    </row>
    <row r="15" ht="15.75" customHeight="1">
      <c r="A15" s="5">
        <v>45672.0</v>
      </c>
      <c r="B15" s="6" t="s">
        <v>13</v>
      </c>
      <c r="C15" s="6" t="s">
        <v>14</v>
      </c>
      <c r="D15" s="6" t="s">
        <v>12</v>
      </c>
      <c r="E15" s="6">
        <v>3.0</v>
      </c>
      <c r="F15" s="6">
        <v>2700.0</v>
      </c>
    </row>
    <row r="16" ht="15.75" customHeight="1">
      <c r="A16" s="5">
        <v>45673.0</v>
      </c>
      <c r="B16" s="6" t="s">
        <v>10</v>
      </c>
      <c r="C16" s="6" t="s">
        <v>11</v>
      </c>
      <c r="D16" s="6" t="s">
        <v>17</v>
      </c>
      <c r="E16" s="6">
        <v>2.0</v>
      </c>
      <c r="F16" s="6">
        <v>300.0</v>
      </c>
    </row>
    <row r="17" ht="15.75" customHeight="1"/>
    <row r="18" ht="15.75" customHeight="1"/>
    <row r="19" ht="15.75" customHeight="1">
      <c r="A19" s="7" t="s">
        <v>18</v>
      </c>
      <c r="C19" s="7" t="s">
        <v>19</v>
      </c>
    </row>
    <row r="20" ht="15.75" customHeight="1">
      <c r="A20" s="8">
        <f>SUMIFS(F2:F16,C2:C16,"Norte",B2:B16,"Ana")</f>
        <v>5250</v>
      </c>
      <c r="C20" s="8">
        <f>SUMIFS(E2:E16,D2:D16,"Impresora",C2:C16,"Centro")</f>
        <v>7</v>
      </c>
    </row>
    <row r="21" ht="15.75" customHeight="1"/>
    <row r="22" ht="15.75" customHeight="1">
      <c r="A22" s="7" t="s">
        <v>20</v>
      </c>
    </row>
    <row r="23" ht="15.75" customHeight="1">
      <c r="A23" s="8">
        <f>COUNTIFS(B2:B16, "Pablo", D2:D16, "Portátil",C2:C16,"Sur")
</f>
        <v>2</v>
      </c>
    </row>
    <row r="24" ht="15.75" customHeight="1"/>
    <row r="25" ht="15.75" customHeight="1">
      <c r="A25" s="7" t="s">
        <v>21</v>
      </c>
    </row>
    <row r="26" ht="15.75" customHeight="1">
      <c r="A26" s="8">
        <f>AVERAGEIFS(F2:F16,D2:D16,"Portátil",B2:B16,"Ana")</f>
        <v>1800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</v>
      </c>
      <c r="B1" s="2" t="s">
        <v>3</v>
      </c>
      <c r="C1" s="2" t="s">
        <v>4</v>
      </c>
    </row>
    <row r="2" ht="15.75" customHeight="1">
      <c r="A2" s="4" t="s">
        <v>6</v>
      </c>
      <c r="B2" s="4">
        <v>2.0</v>
      </c>
      <c r="C2" s="4">
        <v>10.0</v>
      </c>
    </row>
    <row r="3" ht="15.75" customHeight="1">
      <c r="A3" s="4" t="s">
        <v>8</v>
      </c>
      <c r="B3" s="4">
        <v>3.0</v>
      </c>
      <c r="C3" s="4">
        <v>20.0</v>
      </c>
    </row>
    <row r="4" ht="15.75" customHeight="1">
      <c r="A4" s="4" t="s">
        <v>9</v>
      </c>
      <c r="B4" s="4">
        <v>1.0</v>
      </c>
      <c r="C4" s="4">
        <v>150.0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C10" s="6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